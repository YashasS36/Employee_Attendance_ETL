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9dd586ce07c563/Desktop/Employee_Attendance_ETL/Reports/"/>
    </mc:Choice>
  </mc:AlternateContent>
  <xr:revisionPtr revIDLastSave="236" documentId="11_2B59D2BFD340DAB00B453890521510344D07F26A" xr6:coauthVersionLast="47" xr6:coauthVersionMax="47" xr10:uidLastSave="{1ACA599C-3EF8-4BE9-98C7-153C44AEBE78}"/>
  <bookViews>
    <workbookView xWindow="-108" yWindow="-108" windowWidth="23256" windowHeight="12456" activeTab="1" xr2:uid="{00000000-000D-0000-FFFF-FFFF00000000}"/>
  </bookViews>
  <sheets>
    <sheet name="Datasheet" sheetId="1" r:id="rId1"/>
    <sheet name="dashboard" sheetId="2" r:id="rId2"/>
    <sheet name="Summary" sheetId="3" r:id="rId3"/>
  </sheets>
  <definedNames>
    <definedName name="_xlchart.v1.0" hidden="1">Summary!$G$17:$G$19</definedName>
    <definedName name="_xlchart.v1.1" hidden="1">Summary!$H$16</definedName>
    <definedName name="_xlchart.v1.2" hidden="1">Summary!$H$17:$H$19</definedName>
    <definedName name="_xlchart.v1.3" hidden="1">Summary!$I$16</definedName>
    <definedName name="_xlchart.v1.4" hidden="1">Summary!$I$17:$I$19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3" l="1"/>
  <c r="I19" i="3"/>
  <c r="I17" i="3"/>
  <c r="H18" i="3"/>
  <c r="H19" i="3"/>
  <c r="H17" i="3"/>
  <c r="G18" i="3"/>
  <c r="G19" i="3"/>
  <c r="G17" i="3"/>
  <c r="H2" i="1"/>
  <c r="G23" i="1"/>
  <c r="H5" i="3"/>
  <c r="H4" i="3"/>
  <c r="H3" i="3"/>
  <c r="G15" i="3"/>
  <c r="G14" i="3"/>
  <c r="E4" i="2"/>
  <c r="D4" i="2"/>
  <c r="C4" i="2"/>
  <c r="B18" i="3"/>
  <c r="B17" i="3"/>
  <c r="B16" i="3"/>
  <c r="B5" i="3"/>
  <c r="B4" i="3"/>
  <c r="B3" i="3"/>
  <c r="B2" i="3"/>
  <c r="B4" i="2" l="1"/>
</calcChain>
</file>

<file path=xl/sharedStrings.xml><?xml version="1.0" encoding="utf-8"?>
<sst xmlns="http://schemas.openxmlformats.org/spreadsheetml/2006/main" count="45" uniqueCount="24">
  <si>
    <t>Date</t>
  </si>
  <si>
    <t>Employee</t>
  </si>
  <si>
    <t>Department</t>
  </si>
  <si>
    <t>Work_Hours</t>
  </si>
  <si>
    <t>Late</t>
  </si>
  <si>
    <t>Overtime</t>
  </si>
  <si>
    <t>Status</t>
  </si>
  <si>
    <t>01-Jun-26</t>
  </si>
  <si>
    <t>Rahul</t>
  </si>
  <si>
    <t>IT</t>
  </si>
  <si>
    <t>No</t>
  </si>
  <si>
    <t>Present</t>
  </si>
  <si>
    <t>Priya</t>
  </si>
  <si>
    <t>Finance</t>
  </si>
  <si>
    <t>Yes</t>
  </si>
  <si>
    <t>Amit</t>
  </si>
  <si>
    <t>HR</t>
  </si>
  <si>
    <t>Attendance %</t>
  </si>
  <si>
    <t>Total Overtime</t>
  </si>
  <si>
    <t>Late Arrivals</t>
  </si>
  <si>
    <t>Absent Employees</t>
  </si>
  <si>
    <t>Operations</t>
  </si>
  <si>
    <t>Avg Working Hours</t>
  </si>
  <si>
    <t>Working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</si>
</sst>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Font="1" applyFill="1" applyBorder="1"/>
    <xf numFmtId="0" fontId="0" fillId="0" borderId="0" xfId="0" applyBorder="1"/>
    <xf numFmtId="0" fontId="0" fillId="2" borderId="1" xfId="0" applyFill="1" applyBorder="1"/>
    <xf numFmtId="0" fontId="0" fillId="2" borderId="1" xfId="0" applyFont="1" applyFill="1" applyBorder="1"/>
    <xf numFmtId="9" fontId="0" fillId="2" borderId="2" xfId="1" applyFont="1" applyFill="1" applyBorder="1"/>
    <xf numFmtId="0" fontId="0" fillId="2" borderId="2" xfId="0" applyFont="1" applyFill="1" applyBorder="1"/>
    <xf numFmtId="15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Attendance %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Ref>
              <c:f>Summary!$A$2:$A$5</c:f>
              <c:strCache>
                <c:ptCount val="4"/>
                <c:pt idx="0">
                  <c:v>IT</c:v>
                </c:pt>
                <c:pt idx="1">
                  <c:v>Finance</c:v>
                </c:pt>
                <c:pt idx="2">
                  <c:v>HR</c:v>
                </c:pt>
                <c:pt idx="3">
                  <c:v>Operations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9-434A-8BB0-662552DB2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67717487"/>
        <c:axId val="1767716047"/>
        <c:axId val="0"/>
      </c:bar3DChart>
      <c:catAx>
        <c:axId val="176771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716047"/>
        <c:crosses val="autoZero"/>
        <c:auto val="1"/>
        <c:lblAlgn val="ctr"/>
        <c:lblOffset val="100"/>
        <c:noMultiLvlLbl val="0"/>
      </c:catAx>
      <c:valAx>
        <c:axId val="1767716047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50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71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Avg. Working Hours of Dept.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Summary!$B$15</c:f>
              <c:strCache>
                <c:ptCount val="1"/>
                <c:pt idx="0">
                  <c:v>Avg Working Hours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Summary!$A$16:$A$18</c:f>
              <c:strCache>
                <c:ptCount val="3"/>
                <c:pt idx="0">
                  <c:v>HR</c:v>
                </c:pt>
                <c:pt idx="1">
                  <c:v>Finance</c:v>
                </c:pt>
                <c:pt idx="2">
                  <c:v>IT</c:v>
                </c:pt>
              </c:strCache>
            </c:strRef>
          </c:cat>
          <c:val>
            <c:numRef>
              <c:f>Summary!$B$16:$B$18</c:f>
              <c:numCache>
                <c:formatCode>General</c:formatCode>
                <c:ptCount val="3"/>
                <c:pt idx="0">
                  <c:v>8.58</c:v>
                </c:pt>
                <c:pt idx="1">
                  <c:v>8.42</c:v>
                </c:pt>
                <c:pt idx="2">
                  <c:v>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3-4C33-96E9-B4D14DDC31B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8377488"/>
        <c:axId val="1108377968"/>
      </c:barChart>
      <c:catAx>
        <c:axId val="110837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77968"/>
        <c:crosses val="autoZero"/>
        <c:auto val="1"/>
        <c:lblAlgn val="ctr"/>
        <c:lblOffset val="100"/>
        <c:noMultiLvlLbl val="0"/>
      </c:catAx>
      <c:valAx>
        <c:axId val="110837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7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Overtime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584514435695538"/>
          <c:y val="0.15319444444444447"/>
          <c:w val="0.83389107611548552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Total Overtime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Summary!$G$3:$G$5</c:f>
              <c:strCache>
                <c:ptCount val="3"/>
                <c:pt idx="0">
                  <c:v>HR</c:v>
                </c:pt>
                <c:pt idx="1">
                  <c:v>Finance</c:v>
                </c:pt>
                <c:pt idx="2">
                  <c:v>IT</c:v>
                </c:pt>
              </c:strCache>
            </c:strRef>
          </c:cat>
          <c:val>
            <c:numRef>
              <c:f>Summary!$H$3:$H$5</c:f>
              <c:numCache>
                <c:formatCode>General</c:formatCode>
                <c:ptCount val="3"/>
                <c:pt idx="0">
                  <c:v>0.57999999999999996</c:v>
                </c:pt>
                <c:pt idx="1">
                  <c:v>0.42</c:v>
                </c:pt>
                <c:pt idx="2">
                  <c:v>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7-4D98-919C-3433D741A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07173424"/>
        <c:axId val="1407174384"/>
      </c:barChart>
      <c:catAx>
        <c:axId val="1407173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74384"/>
        <c:crosses val="autoZero"/>
        <c:auto val="1"/>
        <c:lblAlgn val="ctr"/>
        <c:lblOffset val="100"/>
        <c:noMultiLvlLbl val="0"/>
      </c:catAx>
      <c:valAx>
        <c:axId val="140717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7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Working Hours vs Overtime by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6315373672427"/>
          <c:y val="0.28177173087355267"/>
          <c:w val="0.58286108290940286"/>
          <c:h val="0.5166295808463256"/>
        </c:manualLayout>
      </c:layout>
      <c:lineChart>
        <c:grouping val="percentStacked"/>
        <c:varyColors val="0"/>
        <c:ser>
          <c:idx val="0"/>
          <c:order val="0"/>
          <c:tx>
            <c:strRef>
              <c:f>Summary!$H$16</c:f>
              <c:strCache>
                <c:ptCount val="1"/>
                <c:pt idx="0">
                  <c:v>Working Hours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Summary!$G$17:$G$19</c:f>
              <c:strCache>
                <c:ptCount val="3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</c:strCache>
            </c:strRef>
          </c:cat>
          <c:val>
            <c:numRef>
              <c:f>Summary!$H$17:$H$19</c:f>
              <c:numCache>
                <c:formatCode>General</c:formatCode>
                <c:ptCount val="3"/>
                <c:pt idx="0">
                  <c:v>9.17</c:v>
                </c:pt>
                <c:pt idx="1">
                  <c:v>8.42</c:v>
                </c:pt>
                <c:pt idx="2">
                  <c:v>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2F-46E8-9920-43279A1238A1}"/>
            </c:ext>
          </c:extLst>
        </c:ser>
        <c:ser>
          <c:idx val="1"/>
          <c:order val="1"/>
          <c:tx>
            <c:strRef>
              <c:f>Summary!$I$16</c:f>
              <c:strCache>
                <c:ptCount val="1"/>
                <c:pt idx="0">
                  <c:v>Overtime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Summary!$G$17:$G$19</c:f>
              <c:strCache>
                <c:ptCount val="3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</c:strCache>
            </c:strRef>
          </c:cat>
          <c:val>
            <c:numRef>
              <c:f>Summary!$I$17:$I$19</c:f>
              <c:numCache>
                <c:formatCode>General</c:formatCode>
                <c:ptCount val="3"/>
                <c:pt idx="0">
                  <c:v>1.17</c:v>
                </c:pt>
                <c:pt idx="1">
                  <c:v>0.42</c:v>
                </c:pt>
                <c:pt idx="2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2F-46E8-9920-43279A123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625584"/>
        <c:axId val="1338623664"/>
      </c:lineChart>
      <c:catAx>
        <c:axId val="133862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623664"/>
        <c:crosses val="autoZero"/>
        <c:auto val="1"/>
        <c:lblAlgn val="ctr"/>
        <c:lblOffset val="100"/>
        <c:noMultiLvlLbl val="0"/>
      </c:catAx>
      <c:valAx>
        <c:axId val="133862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62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Dept. Attendance %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Attendance %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Summary!$A$2:$A$5</c:f>
              <c:strCache>
                <c:ptCount val="4"/>
                <c:pt idx="0">
                  <c:v>IT</c:v>
                </c:pt>
                <c:pt idx="1">
                  <c:v>Finance</c:v>
                </c:pt>
                <c:pt idx="2">
                  <c:v>HR</c:v>
                </c:pt>
                <c:pt idx="3">
                  <c:v>Operations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D-40FB-BF77-BFC451C14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767717487"/>
        <c:axId val="1767716047"/>
        <c:axId val="0"/>
      </c:bar3DChart>
      <c:catAx>
        <c:axId val="17677174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716047"/>
        <c:crosses val="autoZero"/>
        <c:auto val="1"/>
        <c:lblAlgn val="ctr"/>
        <c:lblOffset val="100"/>
        <c:noMultiLvlLbl val="0"/>
      </c:catAx>
      <c:valAx>
        <c:axId val="17677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717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</a:t>
            </a:r>
            <a:r>
              <a:rPr lang="en-US" baseline="0"/>
              <a:t> </a:t>
            </a:r>
            <a:r>
              <a:rPr lang="en-US"/>
              <a:t>Working Hours of Dept.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60518081014804"/>
          <c:y val="7.2662096892501318E-2"/>
          <c:w val="0.89675156361442121"/>
          <c:h val="0.720402287727529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Summary!$B$15</c:f>
              <c:strCache>
                <c:ptCount val="1"/>
                <c:pt idx="0">
                  <c:v>Avg Working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Summary!$A$16:$A$18</c:f>
              <c:strCache>
                <c:ptCount val="3"/>
                <c:pt idx="0">
                  <c:v>HR</c:v>
                </c:pt>
                <c:pt idx="1">
                  <c:v>Finance</c:v>
                </c:pt>
                <c:pt idx="2">
                  <c:v>IT</c:v>
                </c:pt>
              </c:strCache>
            </c:strRef>
          </c:cat>
          <c:val>
            <c:numRef>
              <c:f>Summary!$B$16:$B$18</c:f>
              <c:numCache>
                <c:formatCode>General</c:formatCode>
                <c:ptCount val="3"/>
                <c:pt idx="0">
                  <c:v>8.58</c:v>
                </c:pt>
                <c:pt idx="1">
                  <c:v>8.42</c:v>
                </c:pt>
                <c:pt idx="2">
                  <c:v>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9-4CB7-AF47-71F9AD7EE4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8377488"/>
        <c:axId val="1108377968"/>
      </c:barChart>
      <c:catAx>
        <c:axId val="110837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77968"/>
        <c:crosses val="autoZero"/>
        <c:auto val="1"/>
        <c:lblAlgn val="ctr"/>
        <c:lblOffset val="100"/>
        <c:noMultiLvlLbl val="0"/>
      </c:catAx>
      <c:valAx>
        <c:axId val="110837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7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Overtime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4514435695538"/>
          <c:y val="0.15319444444444447"/>
          <c:w val="0.83389107611548552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Total Overtime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Summary!$G$3:$G$5</c:f>
              <c:strCache>
                <c:ptCount val="3"/>
                <c:pt idx="0">
                  <c:v>HR</c:v>
                </c:pt>
                <c:pt idx="1">
                  <c:v>Finance</c:v>
                </c:pt>
                <c:pt idx="2">
                  <c:v>IT</c:v>
                </c:pt>
              </c:strCache>
            </c:strRef>
          </c:cat>
          <c:val>
            <c:numRef>
              <c:f>Summary!$H$3:$H$5</c:f>
              <c:numCache>
                <c:formatCode>General</c:formatCode>
                <c:ptCount val="3"/>
                <c:pt idx="0">
                  <c:v>0.57999999999999996</c:v>
                </c:pt>
                <c:pt idx="1">
                  <c:v>0.42</c:v>
                </c:pt>
                <c:pt idx="2">
                  <c:v>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5-4698-9CE9-D7435CC97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7173424"/>
        <c:axId val="1407174384"/>
      </c:barChart>
      <c:catAx>
        <c:axId val="1407173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74384"/>
        <c:crosses val="autoZero"/>
        <c:auto val="1"/>
        <c:lblAlgn val="ctr"/>
        <c:lblOffset val="100"/>
        <c:noMultiLvlLbl val="0"/>
      </c:catAx>
      <c:valAx>
        <c:axId val="140717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7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Summary!$H$16</c:f>
              <c:strCache>
                <c:ptCount val="1"/>
                <c:pt idx="0">
                  <c:v>Working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Summary!$G$17:$G$19</c:f>
              <c:strCache>
                <c:ptCount val="3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</c:strCache>
            </c:strRef>
          </c:cat>
          <c:val>
            <c:numRef>
              <c:f>Summary!$H$17:$H$19</c:f>
              <c:numCache>
                <c:formatCode>General</c:formatCode>
                <c:ptCount val="3"/>
                <c:pt idx="0">
                  <c:v>9.17</c:v>
                </c:pt>
                <c:pt idx="1">
                  <c:v>8.42</c:v>
                </c:pt>
                <c:pt idx="2">
                  <c:v>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B-4852-AC00-651467FE0D6E}"/>
            </c:ext>
          </c:extLst>
        </c:ser>
        <c:ser>
          <c:idx val="1"/>
          <c:order val="1"/>
          <c:tx>
            <c:strRef>
              <c:f>Summary!$I$16</c:f>
              <c:strCache>
                <c:ptCount val="1"/>
                <c:pt idx="0">
                  <c:v>Overtime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Summary!$G$17:$G$19</c:f>
              <c:strCache>
                <c:ptCount val="3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</c:strCache>
            </c:strRef>
          </c:cat>
          <c:val>
            <c:numRef>
              <c:f>Summary!$I$17:$I$19</c:f>
              <c:numCache>
                <c:formatCode>General</c:formatCode>
                <c:ptCount val="3"/>
                <c:pt idx="0">
                  <c:v>1.17</c:v>
                </c:pt>
                <c:pt idx="1">
                  <c:v>0.42</c:v>
                </c:pt>
                <c:pt idx="2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B-4852-AC00-651467FE0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625584"/>
        <c:axId val="1338623664"/>
        <c:axId val="1373365840"/>
      </c:line3DChart>
      <c:catAx>
        <c:axId val="133862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623664"/>
        <c:crosses val="autoZero"/>
        <c:auto val="1"/>
        <c:lblAlgn val="ctr"/>
        <c:lblOffset val="100"/>
        <c:noMultiLvlLbl val="0"/>
      </c:catAx>
      <c:valAx>
        <c:axId val="133862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625584"/>
        <c:crosses val="autoZero"/>
        <c:crossBetween val="between"/>
      </c:valAx>
      <c:serAx>
        <c:axId val="13733658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62366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779928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6A0BA-C33C-4B04-B865-007992AE1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905435</xdr:colOff>
      <xdr:row>5</xdr:row>
      <xdr:rowOff>17929</xdr:rowOff>
    </xdr:from>
    <xdr:to>
      <xdr:col>15</xdr:col>
      <xdr:colOff>591671</xdr:colOff>
      <xdr:row>17</xdr:row>
      <xdr:rowOff>161366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CD1480-052C-46A2-9D0D-8B63B3C53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19</xdr:row>
      <xdr:rowOff>0</xdr:rowOff>
    </xdr:from>
    <xdr:to>
      <xdr:col>7</xdr:col>
      <xdr:colOff>735105</xdr:colOff>
      <xdr:row>32</xdr:row>
      <xdr:rowOff>62333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C9E1BF-03AE-4682-8944-0A280FDA4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17930</xdr:colOff>
      <xdr:row>18</xdr:row>
      <xdr:rowOff>179293</xdr:rowOff>
    </xdr:from>
    <xdr:to>
      <xdr:col>16</xdr:col>
      <xdr:colOff>0</xdr:colOff>
      <xdr:row>32</xdr:row>
      <xdr:rowOff>26893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857C6E-6EF9-44E1-8DCC-F2651BC39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0</xdr:rowOff>
    </xdr:from>
    <xdr:to>
      <xdr:col>6</xdr:col>
      <xdr:colOff>7620</xdr:colOff>
      <xdr:row>13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634261-739D-28E7-2813-564FA98BB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15876</xdr:colOff>
      <xdr:row>13</xdr:row>
      <xdr:rowOff>109220</xdr:rowOff>
    </xdr:from>
    <xdr:to>
      <xdr:col>6</xdr:col>
      <xdr:colOff>10161</xdr:colOff>
      <xdr:row>28</xdr:row>
      <xdr:rowOff>109221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CBF54C-ACB5-EB75-BFD2-53CA47AEA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523874</xdr:colOff>
      <xdr:row>0</xdr:row>
      <xdr:rowOff>0</xdr:rowOff>
    </xdr:from>
    <xdr:to>
      <xdr:col>11</xdr:col>
      <xdr:colOff>476249</xdr:colOff>
      <xdr:row>13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E23E14-67C0-9A91-66CF-C7CA70F97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224392</xdr:colOff>
      <xdr:row>13</xdr:row>
      <xdr:rowOff>65448</xdr:rowOff>
    </xdr:from>
    <xdr:to>
      <xdr:col>9</xdr:col>
      <xdr:colOff>149595</xdr:colOff>
      <xdr:row>25</xdr:row>
      <xdr:rowOff>62642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79D03F-9049-CBB5-0801-F0EA2D03C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H2" sqref="H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</v>
      </c>
      <c r="B2" t="s">
        <v>8</v>
      </c>
      <c r="C2" t="s">
        <v>9</v>
      </c>
      <c r="D2">
        <v>9.17</v>
      </c>
      <c r="E2" t="s">
        <v>10</v>
      </c>
      <c r="F2">
        <v>1.17</v>
      </c>
      <c r="G2" t="s">
        <v>11</v>
      </c>
      <c r="H2" s="9">
        <f>DATEVALUE(A2)</f>
        <v>46174</v>
      </c>
    </row>
    <row r="3" spans="1:8" x14ac:dyDescent="0.3">
      <c r="A3" t="s">
        <v>7</v>
      </c>
      <c r="B3" t="s">
        <v>12</v>
      </c>
      <c r="C3" t="s">
        <v>13</v>
      </c>
      <c r="D3">
        <v>8.42</v>
      </c>
      <c r="E3" t="s">
        <v>14</v>
      </c>
      <c r="F3">
        <v>0.42</v>
      </c>
      <c r="G3" t="s">
        <v>11</v>
      </c>
    </row>
    <row r="4" spans="1:8" x14ac:dyDescent="0.3">
      <c r="A4" t="s">
        <v>7</v>
      </c>
      <c r="B4" t="s">
        <v>15</v>
      </c>
      <c r="C4" t="s">
        <v>16</v>
      </c>
      <c r="D4">
        <v>8.58</v>
      </c>
      <c r="E4" t="s">
        <v>10</v>
      </c>
      <c r="F4">
        <v>0.57999999999999996</v>
      </c>
      <c r="G4" t="s">
        <v>11</v>
      </c>
    </row>
    <row r="23" spans="7:7" x14ac:dyDescent="0.3">
      <c r="G23" t="b">
        <f>ISNUMBER(A2)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EC54-CAC2-45B4-B8C3-C0C742A058B5}">
  <dimension ref="B2:L5"/>
  <sheetViews>
    <sheetView tabSelected="1" zoomScale="85" workbookViewId="0">
      <selection activeCell="K3" sqref="K3"/>
    </sheetView>
  </sheetViews>
  <sheetFormatPr defaultRowHeight="14.4" x14ac:dyDescent="0.3"/>
  <cols>
    <col min="2" max="2" width="13.6640625" customWidth="1"/>
    <col min="3" max="3" width="13.5546875" customWidth="1"/>
    <col min="4" max="4" width="11.77734375" customWidth="1"/>
    <col min="5" max="5" width="17.109375" customWidth="1"/>
    <col min="8" max="9" width="13.44140625" customWidth="1"/>
    <col min="11" max="11" width="20.6640625" customWidth="1"/>
  </cols>
  <sheetData>
    <row r="2" spans="2:12" ht="15" thickBot="1" x14ac:dyDescent="0.35">
      <c r="K2" s="2"/>
      <c r="L2" s="3"/>
    </row>
    <row r="3" spans="2:12" x14ac:dyDescent="0.3">
      <c r="B3" s="4" t="s">
        <v>17</v>
      </c>
      <c r="C3" s="5" t="s">
        <v>18</v>
      </c>
      <c r="D3" s="5" t="s">
        <v>19</v>
      </c>
      <c r="E3" s="5" t="s">
        <v>20</v>
      </c>
      <c r="H3" s="2"/>
      <c r="I3" s="3"/>
      <c r="J3" s="3"/>
      <c r="K3" s="2"/>
      <c r="L3" s="3"/>
    </row>
    <row r="4" spans="2:12" ht="15" thickBot="1" x14ac:dyDescent="0.35">
      <c r="B4" s="6">
        <f>(COUNTIF(Datasheet!G:G,"Present")/COUNTA(Datasheet!B:B))</f>
        <v>0.75</v>
      </c>
      <c r="C4" s="7">
        <f>SUM(Datasheet!D:D)</f>
        <v>26.17</v>
      </c>
      <c r="D4" s="7">
        <f>COUNTIF(Datasheet!A:A,"Yes")</f>
        <v>0</v>
      </c>
      <c r="E4" s="7">
        <f>COUNTIF(Datasheet!A:A,"Absent")</f>
        <v>0</v>
      </c>
      <c r="H4" s="2"/>
      <c r="I4" s="3"/>
      <c r="K4" s="2"/>
      <c r="L4" s="3"/>
    </row>
    <row r="5" spans="2:12" x14ac:dyDescent="0.3">
      <c r="H5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B9C5-B6E9-4887-A5DF-FD7D987690B5}">
  <dimension ref="A1:I19"/>
  <sheetViews>
    <sheetView topLeftCell="F9" zoomScale="163" workbookViewId="0">
      <selection activeCell="G16" sqref="G16:I19"/>
    </sheetView>
  </sheetViews>
  <sheetFormatPr defaultRowHeight="14.4" x14ac:dyDescent="0.3"/>
  <cols>
    <col min="1" max="1" width="17.5546875" customWidth="1"/>
    <col min="2" max="2" width="16.5546875" customWidth="1"/>
    <col min="7" max="7" width="13.44140625" customWidth="1"/>
    <col min="8" max="8" width="19.109375" customWidth="1"/>
  </cols>
  <sheetData>
    <row r="1" spans="1:9" x14ac:dyDescent="0.3">
      <c r="A1" t="s">
        <v>2</v>
      </c>
      <c r="B1" t="s">
        <v>17</v>
      </c>
    </row>
    <row r="2" spans="1:9" x14ac:dyDescent="0.3">
      <c r="A2" t="s">
        <v>9</v>
      </c>
      <c r="B2">
        <f>COUNTIFS(Datasheet!C:C,"IT",Datasheet!G:G,"Present")
/
COUNTIF(Datasheet!C:C,"IT")</f>
        <v>1</v>
      </c>
      <c r="G2" s="1" t="s">
        <v>2</v>
      </c>
      <c r="H2" t="s">
        <v>18</v>
      </c>
    </row>
    <row r="3" spans="1:9" x14ac:dyDescent="0.3">
      <c r="A3" t="s">
        <v>13</v>
      </c>
      <c r="B3">
        <f>COUNTIFS(Datasheet!C:C,"Finance",Datasheet!G:G,"Present")
/
COUNTIF(Datasheet!C:C,"Finance")</f>
        <v>1</v>
      </c>
      <c r="G3" t="s">
        <v>16</v>
      </c>
      <c r="H3">
        <f>SUMIFS(Datasheet!F:F, Datasheet!C:C, G3)</f>
        <v>0.57999999999999996</v>
      </c>
    </row>
    <row r="4" spans="1:9" x14ac:dyDescent="0.3">
      <c r="A4" t="s">
        <v>16</v>
      </c>
      <c r="B4">
        <f>COUNTIFS(Datasheet!C:C,"HR",Datasheet!G:G,"Present")
/
COUNTIF(Datasheet!C:C,"HR")</f>
        <v>1</v>
      </c>
      <c r="G4" t="s">
        <v>13</v>
      </c>
      <c r="H4">
        <f>SUMIFS(Datasheet!F:F, Datasheet!C:C, G4)</f>
        <v>0.42</v>
      </c>
    </row>
    <row r="5" spans="1:9" x14ac:dyDescent="0.3">
      <c r="A5" t="s">
        <v>21</v>
      </c>
      <c r="B5">
        <f>D12</f>
        <v>0</v>
      </c>
      <c r="G5" t="s">
        <v>9</v>
      </c>
      <c r="H5">
        <f>SUMIFS(Datasheet!F:F, Datasheet!C:C, G5)</f>
        <v>1.17</v>
      </c>
    </row>
    <row r="14" spans="1:9" x14ac:dyDescent="0.3">
      <c r="G14">
        <f>COUNT(F:F)</f>
        <v>0</v>
      </c>
    </row>
    <row r="15" spans="1:9" x14ac:dyDescent="0.3">
      <c r="A15" s="1" t="s">
        <v>2</v>
      </c>
      <c r="B15" t="s">
        <v>22</v>
      </c>
      <c r="G15">
        <f>COUNTIF(C:C,"HR")</f>
        <v>0</v>
      </c>
    </row>
    <row r="16" spans="1:9" x14ac:dyDescent="0.3">
      <c r="A16" t="s">
        <v>16</v>
      </c>
      <c r="B16">
        <f>AVERAGEIF(Datasheet!C2:C4, A16, Datasheet!D2:D4)</f>
        <v>8.58</v>
      </c>
      <c r="G16" t="s">
        <v>1</v>
      </c>
      <c r="H16" t="s">
        <v>23</v>
      </c>
      <c r="I16" t="s">
        <v>5</v>
      </c>
    </row>
    <row r="17" spans="1:9" x14ac:dyDescent="0.3">
      <c r="A17" t="s">
        <v>13</v>
      </c>
      <c r="B17">
        <f>AVERAGEIF(Datasheet!C2:C4, A17, Datasheet!D2:D4)</f>
        <v>8.42</v>
      </c>
      <c r="G17" s="8" t="str">
        <f>Datasheet!B2</f>
        <v>Rahul</v>
      </c>
      <c r="H17">
        <f>Datasheet!D2</f>
        <v>9.17</v>
      </c>
      <c r="I17">
        <f>Datasheet!F2</f>
        <v>1.17</v>
      </c>
    </row>
    <row r="18" spans="1:9" x14ac:dyDescent="0.3">
      <c r="A18" t="s">
        <v>9</v>
      </c>
      <c r="B18">
        <f>AVERAGEIF(Datasheet!C2:C4, A18, Datasheet!D2:D4)</f>
        <v>9.17</v>
      </c>
      <c r="G18" s="8" t="str">
        <f>Datasheet!B3</f>
        <v>Priya</v>
      </c>
      <c r="H18">
        <f>Datasheet!D3</f>
        <v>8.42</v>
      </c>
      <c r="I18">
        <f>Datasheet!F3</f>
        <v>0.42</v>
      </c>
    </row>
    <row r="19" spans="1:9" x14ac:dyDescent="0.3">
      <c r="G19" s="8" t="str">
        <f>Datasheet!B4</f>
        <v>Amit</v>
      </c>
      <c r="H19">
        <f>Datasheet!D4</f>
        <v>8.58</v>
      </c>
      <c r="I19">
        <f>Datasheet!F4</f>
        <v>0.57999999999999996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Datasheet</vt:lpstr>
      <vt:lpstr>dashboard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917259671070</cp:lastModifiedBy>
  <dcterms:created xsi:type="dcterms:W3CDTF">2026-06-07T05:31:38Z</dcterms:created>
  <dcterms:modified xsi:type="dcterms:W3CDTF">2026-06-07T10:42:56Z</dcterms:modified>
</cp:coreProperties>
</file>